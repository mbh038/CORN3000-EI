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livecornwallac-my.sharepoint.com/personal/michael_hunt_cornwall_ac_uk/Documents/CCG_courses/Level 6 CCG/ERM/ERM new/ERM CORN3000 EI/Gannel 2526/"/>
    </mc:Choice>
  </mc:AlternateContent>
  <xr:revisionPtr revIDLastSave="0" documentId="8_{2DE63F0D-E094-46A5-BFE3-7420311FD787}" xr6:coauthVersionLast="47" xr6:coauthVersionMax="47" xr10:uidLastSave="{00000000-0000-0000-0000-000000000000}"/>
  <bookViews>
    <workbookView xWindow="4700" yWindow="5320" windowWidth="24440" windowHeight="12940" xr2:uid="{879D7EB7-963A-3643-A3AD-585A918ACA93}"/>
  </bookViews>
  <sheets>
    <sheet name="Sedi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2" i="1"/>
  <c r="U2" i="1" s="1"/>
  <c r="O2" i="1"/>
  <c r="Q2" i="1"/>
  <c r="Q6" i="1"/>
  <c r="Q7" i="1"/>
  <c r="Q10" i="1"/>
  <c r="Q11" i="1"/>
  <c r="Q16" i="1"/>
  <c r="Q17" i="1"/>
  <c r="Q3" i="1"/>
  <c r="Q8" i="1"/>
  <c r="Q9" i="1"/>
  <c r="Q14" i="1"/>
  <c r="Q15" i="1"/>
  <c r="Q4" i="1"/>
  <c r="Q5" i="1"/>
  <c r="Q12" i="1"/>
  <c r="Q13" i="1"/>
  <c r="O7" i="1"/>
  <c r="O10" i="1"/>
  <c r="O11" i="1"/>
  <c r="O16" i="1"/>
  <c r="O17" i="1"/>
  <c r="O3" i="1"/>
  <c r="O8" i="1"/>
  <c r="O9" i="1"/>
  <c r="O14" i="1"/>
  <c r="O15" i="1"/>
  <c r="O4" i="1"/>
  <c r="O5" i="1"/>
  <c r="O12" i="1"/>
  <c r="O13" i="1"/>
  <c r="O6" i="1"/>
  <c r="K6" i="1"/>
  <c r="K7" i="1"/>
  <c r="K10" i="1"/>
  <c r="K11" i="1"/>
  <c r="K16" i="1"/>
  <c r="K17" i="1"/>
  <c r="K3" i="1"/>
  <c r="K8" i="1"/>
  <c r="K9" i="1"/>
  <c r="K14" i="1"/>
  <c r="K15" i="1"/>
  <c r="K4" i="1"/>
  <c r="K5" i="1"/>
  <c r="K12" i="1"/>
  <c r="K13" i="1"/>
  <c r="K2" i="1"/>
</calcChain>
</file>

<file path=xl/sharedStrings.xml><?xml version="1.0" encoding="utf-8"?>
<sst xmlns="http://schemas.openxmlformats.org/spreadsheetml/2006/main" count="51" uniqueCount="32">
  <si>
    <t>date</t>
  </si>
  <si>
    <t>team</t>
  </si>
  <si>
    <t>transect</t>
  </si>
  <si>
    <t>sample_id</t>
  </si>
  <si>
    <t>sample</t>
  </si>
  <si>
    <t>grid_ref</t>
  </si>
  <si>
    <t>lat</t>
  </si>
  <si>
    <t>long</t>
  </si>
  <si>
    <t>boat_empty</t>
  </si>
  <si>
    <t>boat_wet_sediment</t>
  </si>
  <si>
    <t>wet_sediment_only</t>
  </si>
  <si>
    <t>sediment_cooked_inc_boat</t>
  </si>
  <si>
    <t>crucible_empty</t>
  </si>
  <si>
    <t>crucible_sediment</t>
  </si>
  <si>
    <t>dry_sediment</t>
  </si>
  <si>
    <t>crucible_ash</t>
  </si>
  <si>
    <t>organic_matter</t>
  </si>
  <si>
    <t>soil_mass</t>
  </si>
  <si>
    <t>total_water_volume</t>
  </si>
  <si>
    <t>water_displacement</t>
  </si>
  <si>
    <t>density_kgpcm</t>
  </si>
  <si>
    <t>PJ</t>
  </si>
  <si>
    <t>LN</t>
  </si>
  <si>
    <t>Start (0m)</t>
  </si>
  <si>
    <t>SW8143060603</t>
  </si>
  <si>
    <t>End (25m)</t>
  </si>
  <si>
    <t>SW8144260631</t>
  </si>
  <si>
    <t>IMAW</t>
  </si>
  <si>
    <t>E</t>
  </si>
  <si>
    <t>W</t>
  </si>
  <si>
    <t>SW8102860753</t>
  </si>
  <si>
    <t>SW8103860771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</si>
</sst>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4">
    <font>
      <sz val="12"/>
      <color theme="1"/>
      <name val="Aptos Narrow"/>
      <family val="2"/>
      <scheme val="minor"/>
    </font>
    <font>
      <sz val="12"/>
      <color rgb="FF000000"/>
      <name val="Aptos Narrow"/>
      <charset val="1"/>
    </font>
    <font>
      <sz val="12"/>
      <color rgb="FFFF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165" fontId="2" fillId="0" borderId="0" xfId="0" applyNumberFormat="1" applyFont="1" applyAlignment="1">
      <alignment horizontal="right"/>
    </xf>
    <xf numFmtId="165" fontId="3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0C68-27C6-8147-AF80-927C8B1455B1}">
  <dimension ref="A1:U19"/>
  <sheetViews>
    <sheetView tabSelected="1" workbookViewId="0">
      <selection activeCell="G2" sqref="G2:H17"/>
    </sheetView>
  </sheetViews>
  <sheetFormatPr defaultColWidth="11" defaultRowHeight="15.75" customHeight="1"/>
  <cols>
    <col min="1" max="1" width="8.375" bestFit="1" customWidth="1"/>
    <col min="2" max="2" width="5.625" bestFit="1" customWidth="1"/>
    <col min="3" max="3" width="7.625" bestFit="1" customWidth="1"/>
    <col min="4" max="5" width="9.25" bestFit="1" customWidth="1"/>
    <col min="6" max="6" width="13.875" bestFit="1" customWidth="1"/>
    <col min="7" max="7" width="11.625" bestFit="1" customWidth="1"/>
    <col min="8" max="8" width="11.25" bestFit="1" customWidth="1"/>
    <col min="9" max="9" width="10.375" bestFit="1" customWidth="1"/>
    <col min="10" max="10" width="16.75" bestFit="1" customWidth="1"/>
    <col min="11" max="11" width="16.5" bestFit="1" customWidth="1"/>
    <col min="12" max="12" width="23.25" bestFit="1" customWidth="1"/>
    <col min="13" max="13" width="13.375" bestFit="1" customWidth="1"/>
    <col min="14" max="14" width="15.875" bestFit="1" customWidth="1"/>
    <col min="15" max="15" width="11.75" bestFit="1" customWidth="1"/>
    <col min="16" max="16" width="11.25" bestFit="1" customWidth="1"/>
    <col min="17" max="17" width="13.25" bestFit="1" customWidth="1"/>
    <col min="18" max="18" width="9" bestFit="1" customWidth="1"/>
    <col min="19" max="19" width="16.75" bestFit="1" customWidth="1"/>
    <col min="20" max="20" width="17.5" bestFit="1" customWidth="1"/>
    <col min="21" max="21" width="13.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46083</v>
      </c>
      <c r="B2" t="s">
        <v>21</v>
      </c>
      <c r="C2">
        <v>1</v>
      </c>
      <c r="D2">
        <v>1</v>
      </c>
      <c r="G2" s="6">
        <v>50.242457999999999</v>
      </c>
      <c r="H2" s="6">
        <v>-5.4529899999999998</v>
      </c>
      <c r="I2">
        <v>0.71</v>
      </c>
      <c r="J2">
        <v>56.9</v>
      </c>
      <c r="K2" s="3" t="str">
        <f>IMSUB(J2,I2)</f>
        <v>56.19</v>
      </c>
      <c r="L2">
        <v>19.98</v>
      </c>
      <c r="M2">
        <v>25.92</v>
      </c>
      <c r="N2">
        <v>29.92</v>
      </c>
      <c r="O2">
        <f>N2-M2</f>
        <v>4</v>
      </c>
      <c r="P2">
        <v>29.15</v>
      </c>
      <c r="Q2">
        <f>N2-P2</f>
        <v>0.77000000000000313</v>
      </c>
      <c r="R2">
        <v>15.52</v>
      </c>
      <c r="S2">
        <v>63</v>
      </c>
      <c r="T2">
        <f>SUM(S2-50)</f>
        <v>13</v>
      </c>
      <c r="U2" s="4">
        <f>SUM(1000*R2/T2)</f>
        <v>1193.8461538461538</v>
      </c>
    </row>
    <row r="3" spans="1:21">
      <c r="A3" s="1">
        <v>46083</v>
      </c>
      <c r="B3" s="2" t="s">
        <v>21</v>
      </c>
      <c r="C3">
        <v>1</v>
      </c>
      <c r="D3">
        <v>2</v>
      </c>
      <c r="G3" s="6">
        <v>50.242457999999999</v>
      </c>
      <c r="H3" s="6">
        <v>-5.045299</v>
      </c>
      <c r="I3">
        <v>0.54</v>
      </c>
      <c r="J3">
        <v>68.16</v>
      </c>
      <c r="K3" s="3" t="str">
        <f>IMSUB(J3,I3)</f>
        <v>67.62</v>
      </c>
      <c r="L3">
        <v>25.34</v>
      </c>
      <c r="M3">
        <v>26.05</v>
      </c>
      <c r="N3">
        <v>30.05</v>
      </c>
      <c r="O3">
        <f>N3-M3</f>
        <v>4</v>
      </c>
      <c r="P3">
        <v>29.34</v>
      </c>
      <c r="Q3">
        <f>N3-P3</f>
        <v>0.71000000000000085</v>
      </c>
      <c r="R3">
        <v>4.5599999999999996</v>
      </c>
      <c r="S3">
        <v>56</v>
      </c>
      <c r="T3">
        <f t="shared" ref="T3:T17" si="0">SUM(S3-50)</f>
        <v>6</v>
      </c>
      <c r="U3" s="4">
        <f t="shared" ref="U3:U17" si="1">SUM(1000*R3/T3)</f>
        <v>760</v>
      </c>
    </row>
    <row r="4" spans="1:21">
      <c r="A4" s="1">
        <v>46083</v>
      </c>
      <c r="B4" t="s">
        <v>22</v>
      </c>
      <c r="C4">
        <v>2</v>
      </c>
      <c r="D4">
        <v>3</v>
      </c>
      <c r="E4" t="s">
        <v>23</v>
      </c>
      <c r="F4" t="s">
        <v>24</v>
      </c>
      <c r="G4" s="7">
        <v>50.404553999999997</v>
      </c>
      <c r="H4" s="7">
        <v>-5.0772233</v>
      </c>
      <c r="I4">
        <v>0.43</v>
      </c>
      <c r="J4">
        <v>46.61</v>
      </c>
      <c r="K4" s="3" t="str">
        <f>IMSUB(J4,I4)</f>
        <v>46.18</v>
      </c>
      <c r="L4">
        <v>9.08</v>
      </c>
      <c r="M4">
        <v>28.12</v>
      </c>
      <c r="N4">
        <v>32.119999999999997</v>
      </c>
      <c r="O4">
        <f>N4-M4</f>
        <v>3.9999999999999964</v>
      </c>
      <c r="P4">
        <v>30.52</v>
      </c>
      <c r="Q4">
        <f>N4-P4</f>
        <v>1.5999999999999979</v>
      </c>
      <c r="R4">
        <v>21</v>
      </c>
      <c r="S4">
        <v>68</v>
      </c>
      <c r="T4">
        <f t="shared" si="0"/>
        <v>18</v>
      </c>
      <c r="U4" s="4">
        <f t="shared" si="1"/>
        <v>1166.6666666666667</v>
      </c>
    </row>
    <row r="5" spans="1:21">
      <c r="A5" s="1">
        <v>46083</v>
      </c>
      <c r="B5" t="s">
        <v>22</v>
      </c>
      <c r="C5">
        <v>2</v>
      </c>
      <c r="D5">
        <v>4</v>
      </c>
      <c r="E5" t="s">
        <v>25</v>
      </c>
      <c r="F5" t="s">
        <v>26</v>
      </c>
      <c r="G5" s="7">
        <v>50.404809999999998</v>
      </c>
      <c r="H5" s="7">
        <v>-5.0770710000000001</v>
      </c>
      <c r="I5">
        <v>0.73</v>
      </c>
      <c r="J5">
        <v>49.9</v>
      </c>
      <c r="K5" s="3" t="str">
        <f>IMSUB(J5,I5)</f>
        <v>49.17</v>
      </c>
      <c r="L5">
        <v>16.22</v>
      </c>
      <c r="M5">
        <v>25.47</v>
      </c>
      <c r="N5">
        <v>29.47</v>
      </c>
      <c r="O5">
        <f>N5-M5</f>
        <v>4</v>
      </c>
      <c r="P5">
        <v>28.59</v>
      </c>
      <c r="Q5">
        <f>N5-P5</f>
        <v>0.87999999999999901</v>
      </c>
      <c r="R5">
        <v>12.04</v>
      </c>
      <c r="S5">
        <v>60</v>
      </c>
      <c r="T5">
        <f t="shared" si="0"/>
        <v>10</v>
      </c>
      <c r="U5" s="4">
        <f t="shared" si="1"/>
        <v>1204</v>
      </c>
    </row>
    <row r="6" spans="1:21">
      <c r="A6" s="1">
        <v>46083</v>
      </c>
      <c r="B6" t="s">
        <v>27</v>
      </c>
      <c r="C6">
        <v>3</v>
      </c>
      <c r="D6">
        <v>5</v>
      </c>
      <c r="E6" t="s">
        <v>28</v>
      </c>
      <c r="G6" s="7">
        <v>50.405630700000003</v>
      </c>
      <c r="H6" s="7">
        <v>-5.0791523999999999</v>
      </c>
      <c r="I6">
        <v>0.61</v>
      </c>
      <c r="J6">
        <v>34.130000000000003</v>
      </c>
      <c r="K6" s="3" t="str">
        <f>IMSUB(J6,I6)</f>
        <v>33.52</v>
      </c>
      <c r="L6">
        <v>10.88</v>
      </c>
      <c r="M6">
        <v>29.25</v>
      </c>
      <c r="N6">
        <v>33.25</v>
      </c>
      <c r="O6">
        <f>N6-M6</f>
        <v>4</v>
      </c>
      <c r="P6">
        <v>32.270000000000003</v>
      </c>
      <c r="Q6">
        <f>N6-P6</f>
        <v>0.97999999999999687</v>
      </c>
      <c r="R6">
        <v>6.26</v>
      </c>
      <c r="S6">
        <v>57</v>
      </c>
      <c r="T6">
        <f t="shared" si="0"/>
        <v>7</v>
      </c>
      <c r="U6" s="4">
        <f t="shared" si="1"/>
        <v>894.28571428571433</v>
      </c>
    </row>
    <row r="7" spans="1:21">
      <c r="A7" s="1">
        <v>46083</v>
      </c>
      <c r="B7" t="s">
        <v>27</v>
      </c>
      <c r="C7">
        <v>3</v>
      </c>
      <c r="D7">
        <v>6</v>
      </c>
      <c r="E7" t="s">
        <v>29</v>
      </c>
      <c r="G7" s="8">
        <v>50.405630700000003</v>
      </c>
      <c r="H7" s="8">
        <v>-5.0791523999999999</v>
      </c>
      <c r="I7">
        <v>0.68</v>
      </c>
      <c r="J7">
        <v>37.04</v>
      </c>
      <c r="K7" s="3" t="str">
        <f>IMSUB(J7,I7)</f>
        <v>36.36</v>
      </c>
      <c r="L7">
        <v>11.86</v>
      </c>
      <c r="M7">
        <v>29.26</v>
      </c>
      <c r="N7">
        <v>33.26</v>
      </c>
      <c r="O7">
        <f>N7-M7</f>
        <v>3.9999999999999964</v>
      </c>
      <c r="P7">
        <v>32.729999999999997</v>
      </c>
      <c r="Q7">
        <f>N7-P7</f>
        <v>0.53000000000000114</v>
      </c>
      <c r="R7">
        <v>6.44</v>
      </c>
      <c r="S7">
        <v>58</v>
      </c>
      <c r="T7">
        <f t="shared" si="0"/>
        <v>8</v>
      </c>
      <c r="U7" s="4">
        <f t="shared" si="1"/>
        <v>805</v>
      </c>
    </row>
    <row r="8" spans="1:21">
      <c r="A8" s="1">
        <v>46083</v>
      </c>
      <c r="B8" s="2" t="s">
        <v>21</v>
      </c>
      <c r="C8">
        <v>4</v>
      </c>
      <c r="D8">
        <v>7</v>
      </c>
      <c r="G8" s="6">
        <v>50.24344</v>
      </c>
      <c r="H8" s="6">
        <v>-5.0485569999999997</v>
      </c>
      <c r="I8">
        <v>0.56999999999999995</v>
      </c>
      <c r="J8">
        <v>73.94</v>
      </c>
      <c r="K8" s="3" t="str">
        <f>IMSUB(J8,I8)</f>
        <v>73.37</v>
      </c>
      <c r="L8">
        <v>22.12</v>
      </c>
      <c r="M8">
        <v>30.58</v>
      </c>
      <c r="N8">
        <v>34.58</v>
      </c>
      <c r="O8">
        <f>N8-M8</f>
        <v>4</v>
      </c>
      <c r="P8">
        <v>33.31</v>
      </c>
      <c r="Q8">
        <f>N8-P8</f>
        <v>1.269999999999996</v>
      </c>
      <c r="R8">
        <v>18</v>
      </c>
      <c r="S8">
        <v>67</v>
      </c>
      <c r="T8">
        <f t="shared" si="0"/>
        <v>17</v>
      </c>
      <c r="U8" s="4">
        <f t="shared" si="1"/>
        <v>1058.8235294117646</v>
      </c>
    </row>
    <row r="9" spans="1:21">
      <c r="A9" s="1">
        <v>46083</v>
      </c>
      <c r="B9" s="2" t="s">
        <v>21</v>
      </c>
      <c r="C9">
        <v>4</v>
      </c>
      <c r="D9">
        <v>8</v>
      </c>
      <c r="G9" s="6">
        <v>50.24344</v>
      </c>
      <c r="H9" s="6">
        <v>-5.0485569999999997</v>
      </c>
      <c r="I9">
        <v>0.72</v>
      </c>
      <c r="J9">
        <v>61.26</v>
      </c>
      <c r="K9" s="3" t="str">
        <f>IMSUB(J9,I9)</f>
        <v>60.54</v>
      </c>
      <c r="L9">
        <v>24.35</v>
      </c>
      <c r="M9">
        <v>29.02</v>
      </c>
      <c r="N9">
        <v>33.020000000000003</v>
      </c>
      <c r="O9">
        <f>N9-M9</f>
        <v>4.0000000000000036</v>
      </c>
      <c r="P9">
        <v>32.47</v>
      </c>
      <c r="Q9">
        <f>N9-P9</f>
        <v>0.55000000000000426</v>
      </c>
      <c r="R9">
        <v>19.71</v>
      </c>
      <c r="S9">
        <v>63</v>
      </c>
      <c r="T9">
        <f t="shared" si="0"/>
        <v>13</v>
      </c>
      <c r="U9" s="4">
        <f t="shared" si="1"/>
        <v>1516.1538461538462</v>
      </c>
    </row>
    <row r="10" spans="1:21">
      <c r="A10" s="1">
        <v>46083</v>
      </c>
      <c r="B10" t="s">
        <v>27</v>
      </c>
      <c r="C10">
        <v>5</v>
      </c>
      <c r="D10">
        <v>9</v>
      </c>
      <c r="E10" t="s">
        <v>29</v>
      </c>
      <c r="G10" s="7">
        <v>50.405574100000003</v>
      </c>
      <c r="H10" s="7">
        <v>-5.0822399000000003</v>
      </c>
      <c r="I10">
        <v>0.52</v>
      </c>
      <c r="J10">
        <v>26.7</v>
      </c>
      <c r="K10" s="3" t="str">
        <f>IMSUB(J10,I10)</f>
        <v>26.18</v>
      </c>
      <c r="L10">
        <v>7.18</v>
      </c>
      <c r="M10">
        <v>27.56</v>
      </c>
      <c r="N10">
        <v>31.56</v>
      </c>
      <c r="O10">
        <f>N10-M10</f>
        <v>4</v>
      </c>
      <c r="P10">
        <v>30.17</v>
      </c>
      <c r="Q10">
        <f>N10-P10</f>
        <v>1.389999999999997</v>
      </c>
      <c r="R10">
        <v>2.73</v>
      </c>
      <c r="S10">
        <v>56</v>
      </c>
      <c r="T10">
        <f t="shared" si="0"/>
        <v>6</v>
      </c>
      <c r="U10" s="4">
        <f t="shared" si="1"/>
        <v>455</v>
      </c>
    </row>
    <row r="11" spans="1:21">
      <c r="A11" s="1">
        <v>46083</v>
      </c>
      <c r="B11" t="s">
        <v>27</v>
      </c>
      <c r="C11">
        <v>5</v>
      </c>
      <c r="D11">
        <v>10</v>
      </c>
      <c r="E11" t="s">
        <v>28</v>
      </c>
      <c r="G11" s="8">
        <v>50.405574100000003</v>
      </c>
      <c r="H11" s="8">
        <v>-5.0822399000000003</v>
      </c>
      <c r="I11">
        <v>0.55000000000000004</v>
      </c>
      <c r="J11">
        <v>27.32</v>
      </c>
      <c r="K11" s="3" t="str">
        <f>IMSUB(J11,I11)</f>
        <v>26.77</v>
      </c>
      <c r="L11">
        <v>4.95</v>
      </c>
      <c r="M11">
        <v>31.91</v>
      </c>
      <c r="N11">
        <v>35.909999999999997</v>
      </c>
      <c r="O11">
        <f>N11-M11</f>
        <v>3.9999999999999964</v>
      </c>
      <c r="P11">
        <v>34.39</v>
      </c>
      <c r="Q11">
        <f>N11-P11</f>
        <v>1.519999999999996</v>
      </c>
      <c r="R11">
        <v>0.39</v>
      </c>
      <c r="S11">
        <v>51</v>
      </c>
      <c r="T11">
        <f t="shared" si="0"/>
        <v>1</v>
      </c>
      <c r="U11" s="4">
        <f t="shared" si="1"/>
        <v>390</v>
      </c>
    </row>
    <row r="12" spans="1:21">
      <c r="A12" s="1">
        <v>46083</v>
      </c>
      <c r="B12" t="s">
        <v>22</v>
      </c>
      <c r="C12">
        <v>6</v>
      </c>
      <c r="D12">
        <v>11</v>
      </c>
      <c r="E12" t="s">
        <v>23</v>
      </c>
      <c r="F12" t="s">
        <v>30</v>
      </c>
      <c r="G12" s="7">
        <v>50.405751000000002</v>
      </c>
      <c r="H12" s="7">
        <v>-5.0829592999999997</v>
      </c>
      <c r="I12">
        <v>0.53</v>
      </c>
      <c r="J12">
        <v>41.24</v>
      </c>
      <c r="K12" s="3" t="str">
        <f>IMSUB(J12,I12)</f>
        <v>40.71</v>
      </c>
      <c r="L12">
        <v>8.92</v>
      </c>
      <c r="M12">
        <v>27.46</v>
      </c>
      <c r="N12">
        <v>31.46</v>
      </c>
      <c r="O12">
        <f>N12-M12</f>
        <v>4</v>
      </c>
      <c r="P12">
        <v>29.85</v>
      </c>
      <c r="Q12">
        <f>N12-P12</f>
        <v>1.6099999999999994</v>
      </c>
      <c r="R12">
        <v>4.4000000000000004</v>
      </c>
      <c r="S12">
        <v>56</v>
      </c>
      <c r="T12">
        <f t="shared" si="0"/>
        <v>6</v>
      </c>
      <c r="U12" s="4">
        <f t="shared" si="1"/>
        <v>733.33333333333337</v>
      </c>
    </row>
    <row r="13" spans="1:21">
      <c r="A13" s="1">
        <v>46083</v>
      </c>
      <c r="B13" t="s">
        <v>22</v>
      </c>
      <c r="C13">
        <v>6</v>
      </c>
      <c r="D13">
        <v>12</v>
      </c>
      <c r="E13" t="s">
        <v>25</v>
      </c>
      <c r="F13" s="5" t="s">
        <v>31</v>
      </c>
      <c r="G13" s="7">
        <v>50.405917000000002</v>
      </c>
      <c r="H13" s="7">
        <v>-5.0828293000000002</v>
      </c>
      <c r="I13">
        <v>1.1399999999999999</v>
      </c>
      <c r="J13">
        <v>55.1</v>
      </c>
      <c r="K13" s="3" t="str">
        <f>IMSUB(J13,I13)</f>
        <v>53.96</v>
      </c>
      <c r="L13">
        <v>31.59</v>
      </c>
      <c r="M13">
        <v>28.48</v>
      </c>
      <c r="N13">
        <v>32.479999999999997</v>
      </c>
      <c r="O13">
        <f>N13-M13</f>
        <v>3.9999999999999964</v>
      </c>
      <c r="P13">
        <v>32.07</v>
      </c>
      <c r="Q13">
        <f>N13-P13</f>
        <v>0.40999999999999659</v>
      </c>
      <c r="R13">
        <v>27.14</v>
      </c>
      <c r="S13">
        <v>67</v>
      </c>
      <c r="T13">
        <f t="shared" si="0"/>
        <v>17</v>
      </c>
      <c r="U13" s="4">
        <f t="shared" si="1"/>
        <v>1596.4705882352941</v>
      </c>
    </row>
    <row r="14" spans="1:21">
      <c r="A14" s="1">
        <v>46083</v>
      </c>
      <c r="B14" s="2" t="s">
        <v>21</v>
      </c>
      <c r="C14">
        <v>7</v>
      </c>
      <c r="D14">
        <v>13</v>
      </c>
      <c r="G14" s="6">
        <v>50.243434999999998</v>
      </c>
      <c r="H14" s="6">
        <v>-5.0503770000000001</v>
      </c>
      <c r="I14">
        <v>0.45</v>
      </c>
      <c r="J14">
        <v>65.12</v>
      </c>
      <c r="K14" s="3" t="str">
        <f>IMSUB(J14,I14)</f>
        <v>64.67</v>
      </c>
      <c r="L14">
        <v>19.309999999999999</v>
      </c>
      <c r="M14">
        <v>26.99</v>
      </c>
      <c r="N14">
        <v>30.99</v>
      </c>
      <c r="O14">
        <f>N14-M14</f>
        <v>4</v>
      </c>
      <c r="P14">
        <v>29.7</v>
      </c>
      <c r="Q14">
        <f>N14-P14</f>
        <v>1.2899999999999991</v>
      </c>
      <c r="R14">
        <v>15</v>
      </c>
      <c r="S14">
        <v>64</v>
      </c>
      <c r="T14">
        <f t="shared" si="0"/>
        <v>14</v>
      </c>
      <c r="U14" s="4">
        <f t="shared" si="1"/>
        <v>1071.4285714285713</v>
      </c>
    </row>
    <row r="15" spans="1:21">
      <c r="A15" s="1">
        <v>46083</v>
      </c>
      <c r="B15" s="2" t="s">
        <v>21</v>
      </c>
      <c r="C15">
        <v>7</v>
      </c>
      <c r="D15">
        <v>14</v>
      </c>
      <c r="G15" s="6">
        <v>50.243434999999998</v>
      </c>
      <c r="H15" s="6">
        <v>-5.0503770000000001</v>
      </c>
      <c r="I15">
        <v>0.6</v>
      </c>
      <c r="J15">
        <v>63.43</v>
      </c>
      <c r="K15" s="3" t="str">
        <f>IMSUB(J15,I15)</f>
        <v>62.83</v>
      </c>
      <c r="L15">
        <v>35.119999999999997</v>
      </c>
      <c r="M15">
        <v>30.57</v>
      </c>
      <c r="N15">
        <v>34.57</v>
      </c>
      <c r="O15">
        <f>N15-M15</f>
        <v>4</v>
      </c>
      <c r="P15">
        <v>34.18</v>
      </c>
      <c r="Q15">
        <f>N15-P15</f>
        <v>0.39000000000000057</v>
      </c>
      <c r="R15">
        <v>29.8</v>
      </c>
      <c r="S15">
        <v>71</v>
      </c>
      <c r="T15">
        <f t="shared" si="0"/>
        <v>21</v>
      </c>
      <c r="U15" s="4">
        <f t="shared" si="1"/>
        <v>1419.047619047619</v>
      </c>
    </row>
    <row r="16" spans="1:21">
      <c r="A16" s="1">
        <v>46083</v>
      </c>
      <c r="B16" t="s">
        <v>27</v>
      </c>
      <c r="C16">
        <v>8</v>
      </c>
      <c r="D16">
        <v>15</v>
      </c>
      <c r="E16" t="s">
        <v>28</v>
      </c>
      <c r="G16" s="7">
        <v>50.405484999999999</v>
      </c>
      <c r="H16" s="7">
        <v>-5.0853691000000003</v>
      </c>
      <c r="I16">
        <v>0.78</v>
      </c>
      <c r="J16">
        <v>31.57</v>
      </c>
      <c r="K16" s="3" t="str">
        <f>IMSUB(J16,I16)</f>
        <v>30.79</v>
      </c>
      <c r="L16">
        <v>22.95</v>
      </c>
      <c r="M16">
        <v>26.46</v>
      </c>
      <c r="N16">
        <v>30.46</v>
      </c>
      <c r="O16">
        <f>N16-M16</f>
        <v>4</v>
      </c>
      <c r="P16">
        <v>29.71</v>
      </c>
      <c r="Q16">
        <f>N16-P16</f>
        <v>0.75</v>
      </c>
      <c r="R16">
        <v>18</v>
      </c>
      <c r="S16">
        <v>60</v>
      </c>
      <c r="T16">
        <f t="shared" si="0"/>
        <v>10</v>
      </c>
      <c r="U16" s="4">
        <f t="shared" si="1"/>
        <v>1800</v>
      </c>
    </row>
    <row r="17" spans="1:21">
      <c r="A17" s="1">
        <v>46083</v>
      </c>
      <c r="B17" t="s">
        <v>27</v>
      </c>
      <c r="C17">
        <v>8</v>
      </c>
      <c r="D17">
        <v>16</v>
      </c>
      <c r="E17" t="s">
        <v>29</v>
      </c>
      <c r="G17" s="8">
        <v>50.405484999999999</v>
      </c>
      <c r="H17" s="8">
        <v>-5.0853691000000003</v>
      </c>
      <c r="I17">
        <v>0.65</v>
      </c>
      <c r="J17">
        <v>36.01</v>
      </c>
      <c r="K17" s="3" t="str">
        <f>IMSUB(J17,I17)</f>
        <v>35.36</v>
      </c>
      <c r="L17">
        <v>17.37</v>
      </c>
      <c r="M17">
        <v>29.28</v>
      </c>
      <c r="N17">
        <v>33.29</v>
      </c>
      <c r="O17">
        <f>N17-M17</f>
        <v>4.009999999999998</v>
      </c>
      <c r="P17">
        <v>32.770000000000003</v>
      </c>
      <c r="Q17">
        <f>N17-P17</f>
        <v>0.51999999999999602</v>
      </c>
      <c r="R17">
        <v>8.6999999999999993</v>
      </c>
      <c r="S17">
        <v>58</v>
      </c>
      <c r="T17">
        <f t="shared" si="0"/>
        <v>8</v>
      </c>
      <c r="U17" s="4">
        <f t="shared" si="1"/>
        <v>1087.5</v>
      </c>
    </row>
    <row r="18" spans="1:21"/>
    <row r="19" spans="1:21"/>
  </sheetData>
  <sortState xmlns:xlrd2="http://schemas.microsoft.com/office/spreadsheetml/2017/richdata2" ref="A2:Q17">
    <sortCondition ref="C2:C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Hunt</dc:creator>
  <cp:keywords/>
  <dc:description/>
  <cp:lastModifiedBy/>
  <cp:revision/>
  <dcterms:created xsi:type="dcterms:W3CDTF">2026-03-02T11:57:22Z</dcterms:created>
  <dcterms:modified xsi:type="dcterms:W3CDTF">2026-03-23T02:33:52Z</dcterms:modified>
  <cp:category/>
  <cp:contentStatus/>
</cp:coreProperties>
</file>